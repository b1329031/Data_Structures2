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uinnn/Desktop/資料結構2/HW03_B1329031/"/>
    </mc:Choice>
  </mc:AlternateContent>
  <xr:revisionPtr revIDLastSave="0" documentId="13_ncr:1_{C9FC9DE1-CDB3-8A45-9574-615D36062077}" xr6:coauthVersionLast="47" xr6:coauthVersionMax="47" xr10:uidLastSave="{00000000-0000-0000-0000-000000000000}"/>
  <bookViews>
    <workbookView xWindow="0" yWindow="740" windowWidth="29400" windowHeight="18380" xr2:uid="{AEAF953D-6089-2343-A7E3-1FDF46252C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3" i="1"/>
  <c r="I7" i="1"/>
  <c r="I6" i="1"/>
  <c r="I5" i="1"/>
  <c r="I4" i="1"/>
  <c r="I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<sst xmlns="http://schemas.openxmlformats.org/spreadsheetml/2006/main" count="9" uniqueCount="6">
  <si>
    <t>n</t>
    <phoneticPr fontId="1" type="noConversion"/>
  </si>
  <si>
    <t>merge</t>
    <phoneticPr fontId="1" type="noConversion"/>
  </si>
  <si>
    <t>heap</t>
    <phoneticPr fontId="1" type="noConversion"/>
  </si>
  <si>
    <t>insertion</t>
    <phoneticPr fontId="1" type="noConversion"/>
  </si>
  <si>
    <t>nlogn</t>
    <phoneticPr fontId="1" type="noConversion"/>
  </si>
  <si>
    <t>n^2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</si>
</sst>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10598322798040705"/>
          <c:y val="0.17522516087171336"/>
          <c:w val="0.82822211385379496"/>
          <c:h val="0.744450595567619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工作表1!$B$2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3.0000000000000001E-6</c:v>
                </c:pt>
                <c:pt idx="1">
                  <c:v>1.4E-5</c:v>
                </c:pt>
                <c:pt idx="2">
                  <c:v>9.3999999999999994E-5</c:v>
                </c:pt>
                <c:pt idx="3">
                  <c:v>1.92E-3</c:v>
                </c:pt>
                <c:pt idx="4">
                  <c:v>1.0708000000000001E-2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0A-CE4D-BCDD-018A52C5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60192"/>
        <c:axId val="1347125231"/>
      </c:scatterChart>
      <c:valAx>
        <c:axId val="809260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47125231"/>
        <c:crosses val="autoZero"/>
        <c:crossBetween val="midCat"/>
      </c:valAx>
      <c:valAx>
        <c:axId val="13471252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926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工作表1!$H$2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工作表1!$H$3:$H$7</c:f>
              <c:numCache>
                <c:formatCode>General</c:formatCode>
                <c:ptCount val="5"/>
                <c:pt idx="0">
                  <c:v>9.9999999999999995E-7</c:v>
                </c:pt>
                <c:pt idx="1">
                  <c:v>1.7E-5</c:v>
                </c:pt>
                <c:pt idx="2">
                  <c:v>2.0699999999999999E-4</c:v>
                </c:pt>
                <c:pt idx="3">
                  <c:v>2.8050000000000002E-3</c:v>
                </c:pt>
                <c:pt idx="4">
                  <c:v>1.5167E-2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50-5E40-B876-F142188EE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053743"/>
        <c:axId val="1373055455"/>
      </c:scatterChart>
      <c:valAx>
        <c:axId val="1373053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73055455"/>
        <c:crosses val="autoZero"/>
        <c:crossBetween val="midCat"/>
      </c:valAx>
      <c:valAx>
        <c:axId val="1373055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7305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工作表1!$N$2</c:f>
              <c:strCache>
                <c:ptCount val="1"/>
                <c:pt idx="0">
                  <c:v>insertion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工作表1!$N$3:$N$7</c:f>
              <c:numCache>
                <c:formatCode>General</c:formatCode>
                <c:ptCount val="5"/>
                <c:pt idx="0">
                  <c:v>0</c:v>
                </c:pt>
                <c:pt idx="1">
                  <c:v>1.2E-5</c:v>
                </c:pt>
                <c:pt idx="2">
                  <c:v>1.0269999999999999E-3</c:v>
                </c:pt>
                <c:pt idx="3">
                  <c:v>4.9008999999999997E-2</c:v>
                </c:pt>
                <c:pt idx="4">
                  <c:v>2.7136179999999999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B-5941-9F9C-733B9B21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722880"/>
        <c:axId val="806724592"/>
      </c:scatterChart>
      <c:valAx>
        <c:axId val="8067228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6724592"/>
        <c:crosses val="autoZero"/>
        <c:crossBetween val="midCat"/>
      </c:valAx>
      <c:valAx>
        <c:axId val="80672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67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merge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工作表1!$B$2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3.0000000000000001E-6</c:v>
                </c:pt>
                <c:pt idx="1">
                  <c:v>1.4E-5</c:v>
                </c:pt>
                <c:pt idx="2">
                  <c:v>9.3999999999999994E-5</c:v>
                </c:pt>
                <c:pt idx="3">
                  <c:v>1.92E-3</c:v>
                </c:pt>
                <c:pt idx="4">
                  <c:v>1.0708000000000001E-2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67-754C-9D38-582325E58FFB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nlogn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3.1438549114340765E-7</c:v>
                </c:pt>
                <c:pt idx="1">
                  <c:v>6.2877098228681539E-6</c:v>
                </c:pt>
                <c:pt idx="2">
                  <c:v>9.4315647343022279E-5</c:v>
                </c:pt>
                <c:pt idx="3">
                  <c:v>1.2575419645736306E-3</c:v>
                </c:pt>
                <c:pt idx="4">
                  <c:v>1.5719274557170381E-2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67-754C-9D38-582325E5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90352"/>
        <c:axId val="381892064"/>
      </c:scatterChart>
      <c:valAx>
        <c:axId val="3818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1892064"/>
        <c:crosses val="autoZero"/>
        <c:crossBetween val="midCat"/>
      </c:valAx>
      <c:valAx>
        <c:axId val="3818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189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heap</a:t>
            </a:r>
            <a:r>
              <a:rPr lang="en-US" sz="1400" b="0" i="0" u="none" strike="noStrike" baseline="0"/>
              <a:t> 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工作表1!$H$2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工作表1!$H$3:$H$7</c:f>
              <c:numCache>
                <c:formatCode>General</c:formatCode>
                <c:ptCount val="5"/>
                <c:pt idx="0">
                  <c:v>9.9999999999999995E-7</c:v>
                </c:pt>
                <c:pt idx="1">
                  <c:v>1.7E-5</c:v>
                </c:pt>
                <c:pt idx="2">
                  <c:v>2.0699999999999999E-4</c:v>
                </c:pt>
                <c:pt idx="3">
                  <c:v>2.8050000000000002E-3</c:v>
                </c:pt>
                <c:pt idx="4">
                  <c:v>1.5167E-2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6-A54F-BEB6-1D34C7E209C0}"/>
            </c:ext>
          </c:extLst>
        </c:ser>
        <c:ser>
          <c:idx val="1"/>
          <c:order val="1"/>
          <c:tx>
            <c:strRef>
              <c:f>工作表1!$I$2</c:f>
              <c:strCache>
                <c:ptCount val="1"/>
                <c:pt idx="0">
                  <c:v>nlogn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工作表1!$I$3:$I$7</c:f>
              <c:numCache>
                <c:formatCode>General</c:formatCode>
                <c:ptCount val="5"/>
                <c:pt idx="0">
                  <c:v>3.1438549114340765E-7</c:v>
                </c:pt>
                <c:pt idx="1">
                  <c:v>6.2877098228681539E-6</c:v>
                </c:pt>
                <c:pt idx="2">
                  <c:v>9.4315647343022279E-5</c:v>
                </c:pt>
                <c:pt idx="3">
                  <c:v>1.2575419645736306E-3</c:v>
                </c:pt>
                <c:pt idx="4">
                  <c:v>1.5719274557170381E-2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6-A54F-BEB6-1D34C7E2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447776"/>
        <c:axId val="628449488"/>
      </c:scatterChart>
      <c:valAx>
        <c:axId val="62844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28449488"/>
        <c:crosses val="autoZero"/>
        <c:crossBetween val="midCat"/>
      </c:valAx>
      <c:valAx>
        <c:axId val="6284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2844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insertion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工作表1!$N$2</c:f>
              <c:strCache>
                <c:ptCount val="1"/>
                <c:pt idx="0">
                  <c:v>insertion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工作表1!$N$3:$N$7</c:f>
              <c:numCache>
                <c:formatCode>General</c:formatCode>
                <c:ptCount val="5"/>
                <c:pt idx="0">
                  <c:v>0</c:v>
                </c:pt>
                <c:pt idx="1">
                  <c:v>1.2E-5</c:v>
                </c:pt>
                <c:pt idx="2">
                  <c:v>1.0269999999999999E-3</c:v>
                </c:pt>
                <c:pt idx="3">
                  <c:v>4.9008999999999997E-2</c:v>
                </c:pt>
                <c:pt idx="4">
                  <c:v>2.7136179999999999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34-0147-8CC0-BFE2F74E8AA1}"/>
            </c:ext>
          </c:extLst>
        </c:ser>
        <c:ser>
          <c:idx val="1"/>
          <c:order val="1"/>
          <c:tx>
            <c:strRef>
              <c:f>工作表1!$O$2</c:f>
              <c:strCache>
                <c:ptCount val="1"/>
                <c:pt idx="0">
                  <c:v>n^2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工作表1!$O$3:$O$7</c:f>
              <c:numCache>
                <c:formatCode>General</c:formatCode>
                <c:ptCount val="5"/>
                <c:pt idx="0">
                  <c:v>2.9999999999999997E-8</c:v>
                </c:pt>
                <c:pt idx="1">
                  <c:v>3.0000000000000001E-6</c:v>
                </c:pt>
                <c:pt idx="2">
                  <c:v>2.9999999999999997E-4</c:v>
                </c:pt>
                <c:pt idx="3">
                  <c:v>0.03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34-0147-8CC0-BFE2F74E8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31535"/>
        <c:axId val="1976835984"/>
      </c:scatterChart>
      <c:valAx>
        <c:axId val="20833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76835984"/>
        <c:crosses val="autoZero"/>
        <c:crossBetween val="midCat"/>
      </c:valAx>
      <c:valAx>
        <c:axId val="19768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0833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804528</xdr:colOff>
      <xdr:row>28</xdr:row>
      <xdr:rowOff>80874</xdr:rowOff>
    </xdr:from>
    <xdr:to>
      <xdr:col>16</xdr:col>
      <xdr:colOff>419210</xdr:colOff>
      <xdr:row>42</xdr:row>
      <xdr:rowOff>138554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79E60DC2-E140-3CEB-1419-C98A5897A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385303</xdr:colOff>
      <xdr:row>30</xdr:row>
      <xdr:rowOff>9370</xdr:rowOff>
    </xdr:from>
    <xdr:to>
      <xdr:col>22</xdr:col>
      <xdr:colOff>811886</xdr:colOff>
      <xdr:row>44</xdr:row>
      <xdr:rowOff>128306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B0A1100B-6606-E3FC-2BAD-62D1B4E9F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460536</xdr:colOff>
      <xdr:row>46</xdr:row>
      <xdr:rowOff>106346</xdr:rowOff>
    </xdr:from>
    <xdr:to>
      <xdr:col>18</xdr:col>
      <xdr:colOff>62971</xdr:colOff>
      <xdr:row>61</xdr:row>
      <xdr:rowOff>33459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BB5681E-EB43-B9BF-F754-85DE0233B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79375</xdr:colOff>
      <xdr:row>7</xdr:row>
      <xdr:rowOff>50800</xdr:rowOff>
    </xdr:from>
    <xdr:to>
      <xdr:col>5</xdr:col>
      <xdr:colOff>346075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F1D38-EB8B-8A3C-9ED0-1718368D8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631825</xdr:colOff>
      <xdr:row>7</xdr:row>
      <xdr:rowOff>44450</xdr:rowOff>
    </xdr:from>
    <xdr:to>
      <xdr:col>11</xdr:col>
      <xdr:colOff>250825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A0822-8A35-1012-EDBB-1374CC64D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588502</xdr:colOff>
      <xdr:row>7</xdr:row>
      <xdr:rowOff>76437</xdr:rowOff>
    </xdr:from>
    <xdr:to>
      <xdr:col>17</xdr:col>
      <xdr:colOff>126647</xdr:colOff>
      <xdr:row>21</xdr:row>
      <xdr:rowOff>166439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AA5A23-7A54-5AB1-B0A4-FE0460425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8EFC-1DC2-B34C-9C39-C1DA6E96A4F2}">
  <dimension ref="A1:O8"/>
  <sheetViews>
    <sheetView tabSelected="1" zoomScale="132" zoomScaleNormal="150" workbookViewId="0">
      <selection activeCell="C2" sqref="C2"/>
    </sheetView>
  </sheetViews>
  <sheetFormatPr baseColWidth="10" defaultRowHeight="15"/>
  <cols>
    <col min="3" max="3" width="13.1640625" bestFit="1" customWidth="1"/>
    <col min="15" max="15" width="12" bestFit="1" customWidth="1"/>
  </cols>
  <sheetData>
    <row r="1" spans="1:15">
      <c r="A1" s="1"/>
      <c r="B1" s="1"/>
      <c r="C1" s="1"/>
      <c r="D1" s="1"/>
    </row>
    <row r="2" spans="1:15">
      <c r="A2" s="1" t="s">
        <v>0</v>
      </c>
      <c r="B2" s="1" t="s">
        <v>1</v>
      </c>
      <c r="C2" s="1" t="s">
        <v>4</v>
      </c>
      <c r="D2" s="1"/>
      <c r="G2" s="1" t="s">
        <v>0</v>
      </c>
      <c r="H2" s="1" t="s">
        <v>2</v>
      </c>
      <c r="I2" t="s">
        <v>4</v>
      </c>
      <c r="M2" s="1" t="s">
        <v>0</v>
      </c>
      <c r="N2" s="1" t="s">
        <v>3</v>
      </c>
      <c r="O2" s="1" t="s">
        <v>5</v>
      </c>
    </row>
    <row r="3" spans="1:15">
      <c r="A3" s="1">
        <v>10</v>
      </c>
      <c r="B3" s="1">
        <v>3.0000000000000001E-6</v>
      </c>
      <c r="C3" s="1">
        <f xml:space="preserve"> A3*LOG(A3,3)*0.000000015</f>
        <v>3.1438549114340765E-7</v>
      </c>
      <c r="D3" s="1"/>
      <c r="G3" s="1">
        <v>10</v>
      </c>
      <c r="H3" s="1">
        <v>9.9999999999999995E-7</v>
      </c>
      <c r="I3" s="1">
        <f xml:space="preserve"> G3*LOG(G3,3)*0.000000015</f>
        <v>3.1438549114340765E-7</v>
      </c>
      <c r="M3" s="1">
        <v>10</v>
      </c>
      <c r="N3" s="1">
        <v>0</v>
      </c>
      <c r="O3">
        <f>M3*M3*0.0000000003</f>
        <v>2.9999999999999997E-8</v>
      </c>
    </row>
    <row r="4" spans="1:15">
      <c r="A4" s="1">
        <v>100</v>
      </c>
      <c r="B4" s="1">
        <v>1.4E-5</v>
      </c>
      <c r="C4" s="1">
        <f t="shared" ref="C4:C7" si="0" xml:space="preserve"> A4*LOG(A4,3)*0.000000015</f>
        <v>6.2877098228681539E-6</v>
      </c>
      <c r="D4" s="1"/>
      <c r="G4" s="1">
        <v>100</v>
      </c>
      <c r="H4" s="1">
        <v>1.7E-5</v>
      </c>
      <c r="I4" s="1">
        <f t="shared" ref="I4:I7" si="1" xml:space="preserve"> G4*LOG(G4,3)*0.000000015</f>
        <v>6.2877098228681539E-6</v>
      </c>
      <c r="M4" s="1">
        <v>100</v>
      </c>
      <c r="N4" s="1">
        <v>1.2E-5</v>
      </c>
      <c r="O4">
        <f t="shared" ref="O4:O7" si="2">M4*M4*0.0000000003</f>
        <v>3.0000000000000001E-6</v>
      </c>
    </row>
    <row r="5" spans="1:15">
      <c r="A5" s="1">
        <v>1000</v>
      </c>
      <c r="B5" s="1">
        <v>9.3999999999999994E-5</v>
      </c>
      <c r="C5" s="1">
        <f t="shared" si="0"/>
        <v>9.4315647343022279E-5</v>
      </c>
      <c r="D5" s="1"/>
      <c r="G5" s="1">
        <v>1000</v>
      </c>
      <c r="H5" s="1">
        <v>2.0699999999999999E-4</v>
      </c>
      <c r="I5" s="1">
        <f t="shared" si="1"/>
        <v>9.4315647343022279E-5</v>
      </c>
      <c r="M5" s="1">
        <v>1000</v>
      </c>
      <c r="N5" s="1">
        <v>1.0269999999999999E-3</v>
      </c>
      <c r="O5">
        <f t="shared" si="2"/>
        <v>2.9999999999999997E-4</v>
      </c>
    </row>
    <row r="6" spans="1:15">
      <c r="A6" s="1">
        <v>10000</v>
      </c>
      <c r="B6" s="1">
        <v>1.92E-3</v>
      </c>
      <c r="C6" s="1">
        <f t="shared" si="0"/>
        <v>1.2575419645736306E-3</v>
      </c>
      <c r="D6" s="1"/>
      <c r="G6" s="1">
        <v>10000</v>
      </c>
      <c r="H6" s="1">
        <v>2.8050000000000002E-3</v>
      </c>
      <c r="I6" s="1">
        <f t="shared" si="1"/>
        <v>1.2575419645736306E-3</v>
      </c>
      <c r="M6" s="1">
        <v>10000</v>
      </c>
      <c r="N6" s="1">
        <v>4.9008999999999997E-2</v>
      </c>
      <c r="O6">
        <f t="shared" si="2"/>
        <v>0.03</v>
      </c>
    </row>
    <row r="7" spans="1:15">
      <c r="A7" s="1">
        <v>100000</v>
      </c>
      <c r="B7" s="1">
        <v>1.0708000000000001E-2</v>
      </c>
      <c r="C7" s="1">
        <f t="shared" si="0"/>
        <v>1.5719274557170381E-2</v>
      </c>
      <c r="D7" s="1"/>
      <c r="G7" s="1">
        <v>100000</v>
      </c>
      <c r="H7" s="1">
        <v>1.5167E-2</v>
      </c>
      <c r="I7" s="1">
        <f t="shared" si="1"/>
        <v>1.5719274557170381E-2</v>
      </c>
      <c r="M7" s="1">
        <v>100000</v>
      </c>
      <c r="N7" s="1">
        <v>2.7136179999999999</v>
      </c>
      <c r="O7">
        <f t="shared" si="2"/>
        <v>3</v>
      </c>
    </row>
    <row r="8" spans="1:15">
      <c r="A8" s="1"/>
      <c r="B8" s="1"/>
      <c r="C8" s="1"/>
      <c r="D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林婕瑜</dc:creator>
  <cp:lastModifiedBy>林婕瑜</cp:lastModifiedBy>
  <dcterms:created xsi:type="dcterms:W3CDTF">2026-03-31T10:34:48Z</dcterms:created>
  <dcterms:modified xsi:type="dcterms:W3CDTF">2026-04-01T05:49:38Z</dcterms:modified>
</cp:coreProperties>
</file>